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DOCS\JOB SUBMITTALS\LENNOX INVENTORY PROJECT\"/>
    </mc:Choice>
  </mc:AlternateContent>
  <xr:revisionPtr revIDLastSave="0" documentId="8_{6343D5E0-B31C-4398-B07C-1BBEF304192E}" xr6:coauthVersionLast="47" xr6:coauthVersionMax="47" xr10:uidLastSave="{00000000-0000-0000-0000-000000000000}"/>
  <bookViews>
    <workbookView xWindow="28680" yWindow="-120" windowWidth="29040" windowHeight="15720" activeTab="2" xr2:uid="{18F684DF-41C4-4C37-A355-168161B2C25E}"/>
  </bookViews>
  <sheets>
    <sheet name="Inputs" sheetId="1" r:id="rId1"/>
    <sheet name="Calculations" sheetId="2" r:id="rId2"/>
    <sheet name="Outpu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3" l="1"/>
  <c r="S4" i="3"/>
  <c r="R5" i="3"/>
  <c r="R4" i="3"/>
  <c r="M5" i="3"/>
  <c r="M4" i="3"/>
  <c r="K5" i="3"/>
  <c r="K4" i="3"/>
  <c r="J5" i="3"/>
  <c r="J4" i="3"/>
  <c r="I5" i="3"/>
  <c r="I4" i="3"/>
  <c r="H5" i="3"/>
  <c r="H4" i="3"/>
  <c r="C3" i="3"/>
  <c r="C4" i="3"/>
  <c r="C6" i="3"/>
  <c r="C7" i="3"/>
  <c r="C8" i="3"/>
  <c r="C9" i="3"/>
  <c r="C12" i="3"/>
  <c r="C14" i="3"/>
  <c r="C15" i="3"/>
  <c r="C16" i="3"/>
  <c r="B3" i="3"/>
  <c r="B4" i="3"/>
  <c r="B6" i="3"/>
  <c r="B7" i="3"/>
  <c r="B8" i="3"/>
  <c r="B9" i="3"/>
  <c r="B12" i="3"/>
  <c r="B14" i="3"/>
  <c r="B15" i="3"/>
  <c r="B16" i="3"/>
  <c r="A16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K3" i="2"/>
  <c r="K4" i="2"/>
  <c r="K6" i="2"/>
  <c r="K7" i="2"/>
  <c r="K8" i="2"/>
  <c r="K9" i="2"/>
  <c r="K12" i="2"/>
  <c r="K14" i="2"/>
  <c r="K15" i="2"/>
  <c r="K16" i="2"/>
  <c r="J3" i="2"/>
  <c r="J4" i="2"/>
  <c r="J6" i="2"/>
  <c r="J7" i="2"/>
  <c r="J8" i="2"/>
  <c r="J9" i="2"/>
  <c r="J12" i="2"/>
  <c r="J13" i="2"/>
  <c r="K13" i="2" s="1"/>
  <c r="C13" i="3" s="1"/>
  <c r="J14" i="2"/>
  <c r="J15" i="2"/>
  <c r="J16" i="2"/>
  <c r="G3" i="2"/>
  <c r="G4" i="2"/>
  <c r="G5" i="2"/>
  <c r="J5" i="2" s="1"/>
  <c r="G6" i="2"/>
  <c r="G7" i="2"/>
  <c r="G8" i="2"/>
  <c r="G9" i="2"/>
  <c r="G11" i="2"/>
  <c r="J11" i="2" s="1"/>
  <c r="G12" i="2"/>
  <c r="G13" i="2"/>
  <c r="G14" i="2"/>
  <c r="G15" i="2"/>
  <c r="G16" i="2"/>
  <c r="F3" i="2"/>
  <c r="F4" i="2"/>
  <c r="F5" i="2"/>
  <c r="F6" i="2"/>
  <c r="F7" i="2"/>
  <c r="F8" i="2"/>
  <c r="F9" i="2"/>
  <c r="F10" i="2"/>
  <c r="G10" i="2" s="1"/>
  <c r="J10" i="2" s="1"/>
  <c r="F11" i="2"/>
  <c r="F12" i="2"/>
  <c r="F13" i="2"/>
  <c r="F14" i="2"/>
  <c r="F15" i="2"/>
  <c r="F16" i="2"/>
  <c r="E3" i="2"/>
  <c r="E4" i="2"/>
  <c r="I4" i="2" s="1"/>
  <c r="E5" i="2"/>
  <c r="I5" i="2" s="1"/>
  <c r="E6" i="2"/>
  <c r="E7" i="2"/>
  <c r="E8" i="2"/>
  <c r="E9" i="2"/>
  <c r="E10" i="2"/>
  <c r="E11" i="2"/>
  <c r="E12" i="2"/>
  <c r="E13" i="2"/>
  <c r="E14" i="2"/>
  <c r="E15" i="2"/>
  <c r="E16" i="2"/>
  <c r="D3" i="2"/>
  <c r="D4" i="2"/>
  <c r="D5" i="2"/>
  <c r="D6" i="2"/>
  <c r="D7" i="2"/>
  <c r="D8" i="2"/>
  <c r="D9" i="2"/>
  <c r="D10" i="2"/>
  <c r="D11" i="2"/>
  <c r="D12" i="2"/>
  <c r="I12" i="2" s="1"/>
  <c r="D13" i="2"/>
  <c r="I13" i="2" s="1"/>
  <c r="D14" i="2"/>
  <c r="I14" i="2" s="1"/>
  <c r="D15" i="2"/>
  <c r="D1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B3" i="2"/>
  <c r="H3" i="2" s="1"/>
  <c r="B4" i="2"/>
  <c r="H4" i="2" s="1"/>
  <c r="B5" i="2"/>
  <c r="H5" i="2" s="1"/>
  <c r="B6" i="2"/>
  <c r="H6" i="2" s="1"/>
  <c r="B7" i="2"/>
  <c r="B8" i="2"/>
  <c r="B9" i="2"/>
  <c r="H9" i="2" s="1"/>
  <c r="B10" i="2"/>
  <c r="I10" i="2" s="1"/>
  <c r="B11" i="2"/>
  <c r="B12" i="2"/>
  <c r="B13" i="2"/>
  <c r="B14" i="2"/>
  <c r="H14" i="2" s="1"/>
  <c r="B15" i="2"/>
  <c r="H15" i="2" s="1"/>
  <c r="B16" i="2"/>
  <c r="H16" i="2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I11" i="2"/>
  <c r="H11" i="2"/>
  <c r="H12" i="2"/>
  <c r="H13" i="2"/>
  <c r="F2" i="2"/>
  <c r="G2" i="2" s="1"/>
  <c r="J2" i="2" s="1"/>
  <c r="B2" i="3" s="1"/>
  <c r="E2" i="2"/>
  <c r="D2" i="2"/>
  <c r="I2" i="2" s="1"/>
  <c r="C2" i="2"/>
  <c r="B2" i="2"/>
  <c r="H2" i="2" s="1"/>
  <c r="A2" i="2"/>
  <c r="A2" i="3" s="1"/>
  <c r="N5" i="3" l="1"/>
  <c r="N4" i="3"/>
  <c r="O4" i="3" s="1"/>
  <c r="Q4" i="3" s="1"/>
  <c r="O5" i="3"/>
  <c r="P5" i="3"/>
  <c r="Q5" i="3"/>
  <c r="B13" i="3"/>
  <c r="K11" i="2"/>
  <c r="C11" i="3" s="1"/>
  <c r="B11" i="3"/>
  <c r="K10" i="2"/>
  <c r="C10" i="3" s="1"/>
  <c r="B10" i="3"/>
  <c r="K5" i="2"/>
  <c r="C5" i="3" s="1"/>
  <c r="B5" i="3"/>
  <c r="I15" i="2"/>
  <c r="I6" i="2"/>
  <c r="I16" i="2"/>
  <c r="I3" i="2"/>
  <c r="I7" i="2"/>
  <c r="H7" i="2"/>
  <c r="I8" i="2"/>
  <c r="H10" i="2"/>
  <c r="I9" i="2"/>
  <c r="H8" i="2"/>
  <c r="K2" i="2"/>
  <c r="P4" i="3" l="1"/>
  <c r="C2" i="3"/>
</calcChain>
</file>

<file path=xl/sharedStrings.xml><?xml version="1.0" encoding="utf-8"?>
<sst xmlns="http://schemas.openxmlformats.org/spreadsheetml/2006/main" count="60" uniqueCount="54">
  <si>
    <t>SKU ID</t>
  </si>
  <si>
    <t>Average demand (units/day or week)</t>
  </si>
  <si>
    <t>Demand standard deviation</t>
  </si>
  <si>
    <t>Lead time (days)</t>
  </si>
  <si>
    <t>Lead time standard deviation</t>
  </si>
  <si>
    <t>Target service level (e.g., 95%, 98%, 99%)</t>
  </si>
  <si>
    <t>Reorder point logic (placeholder)</t>
  </si>
  <si>
    <t>Reorder point</t>
  </si>
  <si>
    <t>Safety stock units</t>
  </si>
  <si>
    <t>Inventory investment impact</t>
  </si>
  <si>
    <t>Service level comparison (e.g., 95 vs 99)</t>
  </si>
  <si>
    <t>Demand assumed to be normally distributed. Lead time expressed in days.</t>
  </si>
  <si>
    <t>Incremental inventory vs baseline service level</t>
  </si>
  <si>
    <t>Service Level</t>
  </si>
  <si>
    <t>Z</t>
  </si>
  <si>
    <t>Avg demand per day (μD)</t>
  </si>
  <si>
    <t>Lead time (days) (LT)</t>
  </si>
  <si>
    <t>Lead time std dev (σLT)</t>
  </si>
  <si>
    <t>Demand during LT (μLT)</t>
  </si>
  <si>
    <t>Std dev during LT (σLT_demand)</t>
  </si>
  <si>
    <t>Safety stock (SS)</t>
  </si>
  <si>
    <t>Reorder point (ROP)</t>
  </si>
  <si>
    <t>RTU-3TON</t>
  </si>
  <si>
    <t>RTU-5TON</t>
  </si>
  <si>
    <t>AHU-SMALL</t>
  </si>
  <si>
    <t>FURN-80KBTU</t>
  </si>
  <si>
    <t>COND-3TON</t>
  </si>
  <si>
    <t>COND-5TON</t>
  </si>
  <si>
    <t>COMP-3TON</t>
  </si>
  <si>
    <t>COMP-5TON</t>
  </si>
  <si>
    <t>COIL-EVAP</t>
  </si>
  <si>
    <t>COIL-COND</t>
  </si>
  <si>
    <t>MOTOR-ECM</t>
  </si>
  <si>
    <t>BLOWER-ASSY</t>
  </si>
  <si>
    <t>CONTROL-BOARD</t>
  </si>
  <si>
    <t>THERM-STAT</t>
  </si>
  <si>
    <t>FILTER-MERV13</t>
  </si>
  <si>
    <t>SKU</t>
  </si>
  <si>
    <t>Baseline SL</t>
  </si>
  <si>
    <t>Baseline Z</t>
  </si>
  <si>
    <t>Baseline SS</t>
  </si>
  <si>
    <t>Baseline ROP</t>
  </si>
  <si>
    <t>Scenario SL</t>
  </si>
  <si>
    <t>Scenario Z</t>
  </si>
  <si>
    <t>Scenario SS</t>
  </si>
  <si>
    <t>Safety Stock (Scenario - Base)</t>
  </si>
  <si>
    <t>ROP (Scenario - Base)</t>
  </si>
  <si>
    <t>Scenario ROP</t>
  </si>
  <si>
    <t>σLT_demand</t>
  </si>
  <si>
    <t>μLT</t>
  </si>
  <si>
    <t>A service-level increase from 95% to 99% produces very different inventory impacts depending on SKU risk profile. For long-lead-time, high-risk components already set at 99% service, incremental inventory is zero. In contrast, high-volume, short-lead-time items experience material safety stock growth driven by demand variability. This illustrates why service-level policy must be segmented and aligned cross-functionally rather than applied uniformly.</t>
  </si>
  <si>
    <t>Calculations incorporate both demand variability and lead-time variability using a combined variance approach. Service level is converted to Z-score using standardized policy tiers.</t>
  </si>
  <si>
    <t>Service-Level Tradeoff Analysis</t>
  </si>
  <si>
    <t>Increasing service levels has materially different inventory impacts depending on SKU risk profile. Long-lead-time, high-risk components may already operate at maximum service levels with no incremental inventory, while high-volume items experience significant safety stock growth driven by demand variability. This reinforces the need for segmented, cross-functional service-level policy rather than uniform targets.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</si>
</sst>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E8C0-98EB-4E9F-938E-9F6B101E1F38}">
  <dimension ref="A1:L16"/>
  <sheetViews>
    <sheetView zoomScale="85" zoomScaleNormal="85" workbookViewId="0">
      <selection activeCell="G10" sqref="G10"/>
    </sheetView>
  </sheetViews>
  <sheetFormatPr defaultColWidth="18.5546875" defaultRowHeight="14.4"/>
  <sheetData>
    <row r="1" spans="1:12" s="1" customFormat="1" ht="47.4" thickBo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H1" s="3" t="s">
        <v>11</v>
      </c>
      <c r="I1" s="4"/>
      <c r="J1" s="4"/>
      <c r="K1" s="4"/>
      <c r="L1" s="5"/>
    </row>
    <row r="2" spans="1:12" ht="31.2">
      <c r="A2" s="13" t="s">
        <v>22</v>
      </c>
      <c r="B2" s="13">
        <v>8</v>
      </c>
      <c r="C2" s="13">
        <v>3</v>
      </c>
      <c r="D2" s="13">
        <v>21</v>
      </c>
      <c r="E2" s="13">
        <v>4</v>
      </c>
      <c r="F2" s="13">
        <v>0.98</v>
      </c>
    </row>
    <row r="3" spans="1:12" ht="31.2">
      <c r="A3" s="13" t="s">
        <v>23</v>
      </c>
      <c r="B3" s="13">
        <v>5</v>
      </c>
      <c r="C3" s="13">
        <v>2</v>
      </c>
      <c r="D3" s="13">
        <v>28</v>
      </c>
      <c r="E3" s="13">
        <v>5</v>
      </c>
      <c r="F3" s="13">
        <v>0.98</v>
      </c>
    </row>
    <row r="4" spans="1:12" ht="31.2">
      <c r="A4" s="13" t="s">
        <v>24</v>
      </c>
      <c r="B4" s="13">
        <v>3</v>
      </c>
      <c r="C4" s="13">
        <v>1.5</v>
      </c>
      <c r="D4" s="13">
        <v>35</v>
      </c>
      <c r="E4" s="13">
        <v>6</v>
      </c>
      <c r="F4" s="13">
        <v>0.95</v>
      </c>
    </row>
    <row r="5" spans="1:12" ht="31.2">
      <c r="A5" s="13" t="s">
        <v>25</v>
      </c>
      <c r="B5" s="13">
        <v>6</v>
      </c>
      <c r="C5" s="13">
        <v>2.5</v>
      </c>
      <c r="D5" s="13">
        <v>30</v>
      </c>
      <c r="E5" s="13">
        <v>5</v>
      </c>
      <c r="F5" s="13">
        <v>0.98</v>
      </c>
    </row>
    <row r="6" spans="1:12" ht="31.2">
      <c r="A6" s="13" t="s">
        <v>26</v>
      </c>
      <c r="B6" s="13">
        <v>10</v>
      </c>
      <c r="C6" s="13">
        <v>4</v>
      </c>
      <c r="D6" s="13">
        <v>18</v>
      </c>
      <c r="E6" s="13">
        <v>3</v>
      </c>
      <c r="F6" s="13">
        <v>0.99</v>
      </c>
    </row>
    <row r="7" spans="1:12" ht="31.2">
      <c r="A7" s="13" t="s">
        <v>27</v>
      </c>
      <c r="B7" s="13">
        <v>7</v>
      </c>
      <c r="C7" s="13">
        <v>3</v>
      </c>
      <c r="D7" s="13">
        <v>22</v>
      </c>
      <c r="E7" s="13">
        <v>4</v>
      </c>
      <c r="F7" s="13">
        <v>0.99</v>
      </c>
    </row>
    <row r="8" spans="1:12" ht="31.2">
      <c r="A8" s="13" t="s">
        <v>28</v>
      </c>
      <c r="B8" s="13">
        <v>4</v>
      </c>
      <c r="C8" s="13">
        <v>2</v>
      </c>
      <c r="D8" s="13">
        <v>45</v>
      </c>
      <c r="E8" s="13">
        <v>8</v>
      </c>
      <c r="F8" s="13">
        <v>0.99</v>
      </c>
    </row>
    <row r="9" spans="1:12" ht="31.2">
      <c r="A9" s="13" t="s">
        <v>29</v>
      </c>
      <c r="B9" s="13">
        <v>2</v>
      </c>
      <c r="C9" s="13">
        <v>1.5</v>
      </c>
      <c r="D9" s="13">
        <v>50</v>
      </c>
      <c r="E9" s="13">
        <v>10</v>
      </c>
      <c r="F9" s="13">
        <v>0.99</v>
      </c>
    </row>
    <row r="10" spans="1:12" ht="31.2">
      <c r="A10" s="13" t="s">
        <v>30</v>
      </c>
      <c r="B10" s="13">
        <v>12</v>
      </c>
      <c r="C10" s="13">
        <v>5</v>
      </c>
      <c r="D10" s="13">
        <v>14</v>
      </c>
      <c r="E10" s="13">
        <v>2</v>
      </c>
      <c r="F10" s="13">
        <v>0.98</v>
      </c>
    </row>
    <row r="11" spans="1:12" ht="31.2">
      <c r="A11" s="13" t="s">
        <v>31</v>
      </c>
      <c r="B11" s="13">
        <v>9</v>
      </c>
      <c r="C11" s="13">
        <v>4</v>
      </c>
      <c r="D11" s="13">
        <v>16</v>
      </c>
      <c r="E11" s="13">
        <v>3</v>
      </c>
      <c r="F11" s="13">
        <v>0.98</v>
      </c>
    </row>
    <row r="12" spans="1:12" ht="31.2">
      <c r="A12" s="13" t="s">
        <v>32</v>
      </c>
      <c r="B12" s="13">
        <v>15</v>
      </c>
      <c r="C12" s="13">
        <v>6</v>
      </c>
      <c r="D12" s="13">
        <v>12</v>
      </c>
      <c r="E12" s="13">
        <v>2</v>
      </c>
      <c r="F12" s="13">
        <v>0.98</v>
      </c>
    </row>
    <row r="13" spans="1:12" ht="31.2">
      <c r="A13" s="13" t="s">
        <v>33</v>
      </c>
      <c r="B13" s="13">
        <v>6</v>
      </c>
      <c r="C13" s="13">
        <v>3</v>
      </c>
      <c r="D13" s="13">
        <v>20</v>
      </c>
      <c r="E13" s="13">
        <v>4</v>
      </c>
      <c r="F13" s="13">
        <v>0.95</v>
      </c>
    </row>
    <row r="14" spans="1:12" ht="31.2">
      <c r="A14" s="13" t="s">
        <v>34</v>
      </c>
      <c r="B14" s="13">
        <v>20</v>
      </c>
      <c r="C14" s="13">
        <v>8</v>
      </c>
      <c r="D14" s="13">
        <v>10</v>
      </c>
      <c r="E14" s="13">
        <v>1.5</v>
      </c>
      <c r="F14" s="13">
        <v>0.99</v>
      </c>
    </row>
    <row r="15" spans="1:12" ht="31.2">
      <c r="A15" s="13" t="s">
        <v>35</v>
      </c>
      <c r="B15" s="13">
        <v>30</v>
      </c>
      <c r="C15" s="13">
        <v>10</v>
      </c>
      <c r="D15" s="13">
        <v>7</v>
      </c>
      <c r="E15" s="13">
        <v>1</v>
      </c>
      <c r="F15" s="13">
        <v>0.95</v>
      </c>
    </row>
    <row r="16" spans="1:12" ht="31.2">
      <c r="A16" s="13" t="s">
        <v>36</v>
      </c>
      <c r="B16" s="13">
        <v>50</v>
      </c>
      <c r="C16" s="13">
        <v>15</v>
      </c>
      <c r="D16" s="13">
        <v>5</v>
      </c>
      <c r="E16" s="13">
        <v>1</v>
      </c>
      <c r="F16" s="13">
        <v>0.95</v>
      </c>
    </row>
  </sheetData>
  <mergeCells count="1">
    <mergeCell ref="H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0789-E580-4464-BC1E-C61D3F51A7BF}">
  <dimension ref="A1:N21"/>
  <sheetViews>
    <sheetView workbookViewId="0">
      <selection activeCell="E24" sqref="E24:E25"/>
    </sheetView>
  </sheetViews>
  <sheetFormatPr defaultColWidth="13.88671875" defaultRowHeight="14.4"/>
  <cols>
    <col min="9" max="9" width="18.6640625" customWidth="1"/>
  </cols>
  <sheetData>
    <row r="1" spans="1:14" s="1" customFormat="1" ht="43.2">
      <c r="A1" s="2" t="s">
        <v>0</v>
      </c>
      <c r="B1" s="2" t="s">
        <v>15</v>
      </c>
      <c r="C1" s="2" t="s">
        <v>16</v>
      </c>
      <c r="D1" s="2" t="s">
        <v>17</v>
      </c>
      <c r="E1" s="2" t="s">
        <v>6</v>
      </c>
      <c r="F1" s="8" t="s">
        <v>13</v>
      </c>
      <c r="G1" s="8" t="s">
        <v>14</v>
      </c>
      <c r="H1" s="7" t="s">
        <v>18</v>
      </c>
      <c r="I1" s="7" t="s">
        <v>19</v>
      </c>
      <c r="J1" s="7" t="s">
        <v>20</v>
      </c>
      <c r="K1" s="7" t="s">
        <v>21</v>
      </c>
      <c r="M1" s="8" t="s">
        <v>13</v>
      </c>
      <c r="N1" s="8" t="s">
        <v>14</v>
      </c>
    </row>
    <row r="2" spans="1:14">
      <c r="A2" s="9" t="str">
        <f>Inputs!A2</f>
        <v>RTU-3TON</v>
      </c>
      <c r="B2" s="9">
        <f>Inputs!B2</f>
        <v>8</v>
      </c>
      <c r="C2" s="9">
        <f>Inputs!C2</f>
        <v>3</v>
      </c>
      <c r="D2" s="9">
        <f>Inputs!D2</f>
        <v>21</v>
      </c>
      <c r="E2" s="9">
        <f>Inputs!E2</f>
        <v>4</v>
      </c>
      <c r="F2" s="9">
        <f>Inputs!F2</f>
        <v>0.98</v>
      </c>
      <c r="G2" s="9">
        <f>_xlfn.XLOOKUP(F2,$M$2:$M$5,$N$2:$N$5,,0)</f>
        <v>2.0539999999999998</v>
      </c>
      <c r="H2" s="9">
        <f>B2*D2</f>
        <v>168</v>
      </c>
      <c r="I2" s="9">
        <f>SQRT((D2*(C2^2)) + ((B2^2)*(E2^2)))</f>
        <v>34.828149534535996</v>
      </c>
      <c r="J2" s="9">
        <f>G2*I2</f>
        <v>71.537019143936931</v>
      </c>
      <c r="K2" s="9">
        <f>H2+J2</f>
        <v>239.53701914393693</v>
      </c>
      <c r="M2" s="9">
        <v>0.9</v>
      </c>
      <c r="N2" s="7">
        <v>1.282</v>
      </c>
    </row>
    <row r="3" spans="1:14">
      <c r="A3" s="9" t="str">
        <f>Inputs!A3</f>
        <v>RTU-5TON</v>
      </c>
      <c r="B3" s="9">
        <f>Inputs!B3</f>
        <v>5</v>
      </c>
      <c r="C3" s="9">
        <f>Inputs!C3</f>
        <v>2</v>
      </c>
      <c r="D3" s="9">
        <f>Inputs!D3</f>
        <v>28</v>
      </c>
      <c r="E3" s="9">
        <f>Inputs!E3</f>
        <v>5</v>
      </c>
      <c r="F3" s="9">
        <f>Inputs!F3</f>
        <v>0.98</v>
      </c>
      <c r="G3" s="9">
        <f t="shared" ref="G3:G21" si="0">_xlfn.XLOOKUP(F3,$M$2:$M$5,$N$2:$N$5,,0)</f>
        <v>2.0539999999999998</v>
      </c>
      <c r="H3" s="9">
        <f t="shared" ref="H3:H21" si="1">B3*D3</f>
        <v>140</v>
      </c>
      <c r="I3" s="9">
        <f t="shared" ref="I3:I20" si="2">SQRT((D3*(C3^2)) + ((B3^2)*(E3^2)))</f>
        <v>27.147743920996454</v>
      </c>
      <c r="J3" s="9">
        <f t="shared" ref="J3:J21" si="3">G3*I3</f>
        <v>55.761466013726711</v>
      </c>
      <c r="K3" s="9">
        <f t="shared" ref="K3:K21" si="4">H3+J3</f>
        <v>195.7614660137267</v>
      </c>
      <c r="M3" s="7">
        <v>0.95</v>
      </c>
      <c r="N3" s="7">
        <v>1.645</v>
      </c>
    </row>
    <row r="4" spans="1:14">
      <c r="A4" s="9" t="str">
        <f>Inputs!A4</f>
        <v>AHU-SMALL</v>
      </c>
      <c r="B4" s="9">
        <f>Inputs!B4</f>
        <v>3</v>
      </c>
      <c r="C4" s="9">
        <f>Inputs!C4</f>
        <v>1.5</v>
      </c>
      <c r="D4" s="9">
        <f>Inputs!D4</f>
        <v>35</v>
      </c>
      <c r="E4" s="9">
        <f>Inputs!E4</f>
        <v>6</v>
      </c>
      <c r="F4" s="9">
        <f>Inputs!F4</f>
        <v>0.95</v>
      </c>
      <c r="G4" s="9">
        <f t="shared" si="0"/>
        <v>1.645</v>
      </c>
      <c r="H4" s="9">
        <f t="shared" si="1"/>
        <v>105</v>
      </c>
      <c r="I4" s="9">
        <f t="shared" si="2"/>
        <v>20.068632240389476</v>
      </c>
      <c r="J4" s="9">
        <f t="shared" si="3"/>
        <v>33.012900035440687</v>
      </c>
      <c r="K4" s="9">
        <f t="shared" si="4"/>
        <v>138.01290003544068</v>
      </c>
      <c r="M4" s="7">
        <v>0.98</v>
      </c>
      <c r="N4" s="7">
        <v>2.0539999999999998</v>
      </c>
    </row>
    <row r="5" spans="1:14">
      <c r="A5" s="9" t="str">
        <f>Inputs!A5</f>
        <v>FURN-80KBTU</v>
      </c>
      <c r="B5" s="9">
        <f>Inputs!B5</f>
        <v>6</v>
      </c>
      <c r="C5" s="9">
        <f>Inputs!C5</f>
        <v>2.5</v>
      </c>
      <c r="D5" s="9">
        <f>Inputs!D5</f>
        <v>30</v>
      </c>
      <c r="E5" s="9">
        <f>Inputs!E5</f>
        <v>5</v>
      </c>
      <c r="F5" s="9">
        <f>Inputs!F5</f>
        <v>0.98</v>
      </c>
      <c r="G5" s="9">
        <f t="shared" si="0"/>
        <v>2.0539999999999998</v>
      </c>
      <c r="H5" s="9">
        <f t="shared" si="1"/>
        <v>180</v>
      </c>
      <c r="I5" s="9">
        <f t="shared" si="2"/>
        <v>32.977264895682296</v>
      </c>
      <c r="J5" s="9">
        <f t="shared" si="3"/>
        <v>67.735302095731427</v>
      </c>
      <c r="K5" s="9">
        <f t="shared" si="4"/>
        <v>247.73530209573141</v>
      </c>
      <c r="M5" s="7">
        <v>0.99</v>
      </c>
      <c r="N5" s="7">
        <v>2.3260000000000001</v>
      </c>
    </row>
    <row r="6" spans="1:14">
      <c r="A6" s="9" t="str">
        <f>Inputs!A6</f>
        <v>COND-3TON</v>
      </c>
      <c r="B6" s="9">
        <f>Inputs!B6</f>
        <v>10</v>
      </c>
      <c r="C6" s="9">
        <f>Inputs!C6</f>
        <v>4</v>
      </c>
      <c r="D6" s="9">
        <f>Inputs!D6</f>
        <v>18</v>
      </c>
      <c r="E6" s="9">
        <f>Inputs!E6</f>
        <v>3</v>
      </c>
      <c r="F6" s="9">
        <f>Inputs!F6</f>
        <v>0.99</v>
      </c>
      <c r="G6" s="9">
        <f t="shared" si="0"/>
        <v>2.3260000000000001</v>
      </c>
      <c r="H6" s="9">
        <f t="shared" si="1"/>
        <v>180</v>
      </c>
      <c r="I6" s="9">
        <f t="shared" si="2"/>
        <v>34.467375879228172</v>
      </c>
      <c r="J6" s="9">
        <f t="shared" si="3"/>
        <v>80.17111629508473</v>
      </c>
      <c r="K6" s="9">
        <f t="shared" si="4"/>
        <v>260.17111629508474</v>
      </c>
    </row>
    <row r="7" spans="1:14">
      <c r="A7" s="9" t="str">
        <f>Inputs!A7</f>
        <v>COND-5TON</v>
      </c>
      <c r="B7" s="9">
        <f>Inputs!B7</f>
        <v>7</v>
      </c>
      <c r="C7" s="9">
        <f>Inputs!C7</f>
        <v>3</v>
      </c>
      <c r="D7" s="9">
        <f>Inputs!D7</f>
        <v>22</v>
      </c>
      <c r="E7" s="9">
        <f>Inputs!E7</f>
        <v>4</v>
      </c>
      <c r="F7" s="9">
        <f>Inputs!F7</f>
        <v>0.99</v>
      </c>
      <c r="G7" s="9">
        <f t="shared" si="0"/>
        <v>2.3260000000000001</v>
      </c>
      <c r="H7" s="9">
        <f t="shared" si="1"/>
        <v>154</v>
      </c>
      <c r="I7" s="9">
        <f t="shared" si="2"/>
        <v>31.336879231984796</v>
      </c>
      <c r="J7" s="9">
        <f t="shared" si="3"/>
        <v>72.889581093596632</v>
      </c>
      <c r="K7" s="9">
        <f t="shared" si="4"/>
        <v>226.88958109359663</v>
      </c>
    </row>
    <row r="8" spans="1:14">
      <c r="A8" s="9" t="str">
        <f>Inputs!A8</f>
        <v>COMP-3TON</v>
      </c>
      <c r="B8" s="9">
        <f>Inputs!B8</f>
        <v>4</v>
      </c>
      <c r="C8" s="9">
        <f>Inputs!C8</f>
        <v>2</v>
      </c>
      <c r="D8" s="9">
        <f>Inputs!D8</f>
        <v>45</v>
      </c>
      <c r="E8" s="9">
        <f>Inputs!E8</f>
        <v>8</v>
      </c>
      <c r="F8" s="9">
        <f>Inputs!F8</f>
        <v>0.99</v>
      </c>
      <c r="G8" s="9">
        <f t="shared" si="0"/>
        <v>2.3260000000000001</v>
      </c>
      <c r="H8" s="9">
        <f t="shared" si="1"/>
        <v>180</v>
      </c>
      <c r="I8" s="9">
        <f t="shared" si="2"/>
        <v>34.698703145794944</v>
      </c>
      <c r="J8" s="9">
        <f t="shared" si="3"/>
        <v>80.709183517119044</v>
      </c>
      <c r="K8" s="9">
        <f t="shared" si="4"/>
        <v>260.70918351711907</v>
      </c>
    </row>
    <row r="9" spans="1:14">
      <c r="A9" s="9" t="str">
        <f>Inputs!A9</f>
        <v>COMP-5TON</v>
      </c>
      <c r="B9" s="9">
        <f>Inputs!B9</f>
        <v>2</v>
      </c>
      <c r="C9" s="9">
        <f>Inputs!C9</f>
        <v>1.5</v>
      </c>
      <c r="D9" s="9">
        <f>Inputs!D9</f>
        <v>50</v>
      </c>
      <c r="E9" s="9">
        <f>Inputs!E9</f>
        <v>10</v>
      </c>
      <c r="F9" s="9">
        <f>Inputs!F9</f>
        <v>0.99</v>
      </c>
      <c r="G9" s="9">
        <f t="shared" si="0"/>
        <v>2.3260000000000001</v>
      </c>
      <c r="H9" s="9">
        <f t="shared" si="1"/>
        <v>100</v>
      </c>
      <c r="I9" s="9">
        <f t="shared" si="2"/>
        <v>22.638462845343543</v>
      </c>
      <c r="J9" s="9">
        <f t="shared" si="3"/>
        <v>52.657064578269086</v>
      </c>
      <c r="K9" s="9">
        <f t="shared" si="4"/>
        <v>152.65706457826909</v>
      </c>
    </row>
    <row r="10" spans="1:14">
      <c r="A10" s="9" t="str">
        <f>Inputs!A10</f>
        <v>COIL-EVAP</v>
      </c>
      <c r="B10" s="9">
        <f>Inputs!B10</f>
        <v>12</v>
      </c>
      <c r="C10" s="9">
        <f>Inputs!C10</f>
        <v>5</v>
      </c>
      <c r="D10" s="9">
        <f>Inputs!D10</f>
        <v>14</v>
      </c>
      <c r="E10" s="9">
        <f>Inputs!E10</f>
        <v>2</v>
      </c>
      <c r="F10" s="9">
        <f>Inputs!F10</f>
        <v>0.98</v>
      </c>
      <c r="G10" s="9">
        <f t="shared" si="0"/>
        <v>2.0539999999999998</v>
      </c>
      <c r="H10" s="9">
        <f t="shared" si="1"/>
        <v>168</v>
      </c>
      <c r="I10" s="9">
        <f t="shared" si="2"/>
        <v>30.430248109405877</v>
      </c>
      <c r="J10" s="9">
        <f t="shared" si="3"/>
        <v>62.503729616719667</v>
      </c>
      <c r="K10" s="9">
        <f t="shared" si="4"/>
        <v>230.50372961671968</v>
      </c>
    </row>
    <row r="11" spans="1:14">
      <c r="A11" s="9" t="str">
        <f>Inputs!A11</f>
        <v>COIL-COND</v>
      </c>
      <c r="B11" s="9">
        <f>Inputs!B11</f>
        <v>9</v>
      </c>
      <c r="C11" s="9">
        <f>Inputs!C11</f>
        <v>4</v>
      </c>
      <c r="D11" s="9">
        <f>Inputs!D11</f>
        <v>16</v>
      </c>
      <c r="E11" s="9">
        <f>Inputs!E11</f>
        <v>3</v>
      </c>
      <c r="F11" s="9">
        <f>Inputs!F11</f>
        <v>0.98</v>
      </c>
      <c r="G11" s="9">
        <f t="shared" si="0"/>
        <v>2.0539999999999998</v>
      </c>
      <c r="H11" s="9">
        <f t="shared" si="1"/>
        <v>144</v>
      </c>
      <c r="I11" s="9">
        <f t="shared" si="2"/>
        <v>31.384709652950431</v>
      </c>
      <c r="J11" s="9">
        <f t="shared" si="3"/>
        <v>64.464193627160185</v>
      </c>
      <c r="K11" s="9">
        <f t="shared" si="4"/>
        <v>208.46419362716017</v>
      </c>
    </row>
    <row r="12" spans="1:14">
      <c r="A12" s="9" t="str">
        <f>Inputs!A12</f>
        <v>MOTOR-ECM</v>
      </c>
      <c r="B12" s="9">
        <f>Inputs!B12</f>
        <v>15</v>
      </c>
      <c r="C12" s="9">
        <f>Inputs!C12</f>
        <v>6</v>
      </c>
      <c r="D12" s="9">
        <f>Inputs!D12</f>
        <v>12</v>
      </c>
      <c r="E12" s="9">
        <f>Inputs!E12</f>
        <v>2</v>
      </c>
      <c r="F12" s="9">
        <f>Inputs!F12</f>
        <v>0.98</v>
      </c>
      <c r="G12" s="9">
        <f t="shared" si="0"/>
        <v>2.0539999999999998</v>
      </c>
      <c r="H12" s="9">
        <f t="shared" si="1"/>
        <v>180</v>
      </c>
      <c r="I12" s="9">
        <f t="shared" si="2"/>
        <v>36.496575181789318</v>
      </c>
      <c r="J12" s="9">
        <f t="shared" si="3"/>
        <v>74.963965423395251</v>
      </c>
      <c r="K12" s="9">
        <f t="shared" si="4"/>
        <v>254.96396542339525</v>
      </c>
    </row>
    <row r="13" spans="1:14">
      <c r="A13" s="9" t="str">
        <f>Inputs!A13</f>
        <v>BLOWER-ASSY</v>
      </c>
      <c r="B13" s="9">
        <f>Inputs!B13</f>
        <v>6</v>
      </c>
      <c r="C13" s="9">
        <f>Inputs!C13</f>
        <v>3</v>
      </c>
      <c r="D13" s="9">
        <f>Inputs!D13</f>
        <v>20</v>
      </c>
      <c r="E13" s="9">
        <f>Inputs!E13</f>
        <v>4</v>
      </c>
      <c r="F13" s="9">
        <f>Inputs!F13</f>
        <v>0.95</v>
      </c>
      <c r="G13" s="9">
        <f t="shared" si="0"/>
        <v>1.645</v>
      </c>
      <c r="H13" s="9">
        <f t="shared" si="1"/>
        <v>120</v>
      </c>
      <c r="I13" s="9">
        <f t="shared" si="2"/>
        <v>27.495454169735041</v>
      </c>
      <c r="J13" s="9">
        <f t="shared" si="3"/>
        <v>45.23002210921414</v>
      </c>
      <c r="K13" s="9">
        <f t="shared" si="4"/>
        <v>165.23002210921413</v>
      </c>
    </row>
    <row r="14" spans="1:14">
      <c r="A14" s="9" t="str">
        <f>Inputs!A14</f>
        <v>CONTROL-BOARD</v>
      </c>
      <c r="B14" s="9">
        <f>Inputs!B14</f>
        <v>20</v>
      </c>
      <c r="C14" s="9">
        <f>Inputs!C14</f>
        <v>8</v>
      </c>
      <c r="D14" s="9">
        <f>Inputs!D14</f>
        <v>10</v>
      </c>
      <c r="E14" s="9">
        <f>Inputs!E14</f>
        <v>1.5</v>
      </c>
      <c r="F14" s="9">
        <f>Inputs!F14</f>
        <v>0.99</v>
      </c>
      <c r="G14" s="9">
        <f t="shared" si="0"/>
        <v>2.3260000000000001</v>
      </c>
      <c r="H14" s="9">
        <f t="shared" si="1"/>
        <v>200</v>
      </c>
      <c r="I14" s="9">
        <f t="shared" si="2"/>
        <v>39.242833740697165</v>
      </c>
      <c r="J14" s="9">
        <f t="shared" si="3"/>
        <v>91.27883128086161</v>
      </c>
      <c r="K14" s="9">
        <f t="shared" si="4"/>
        <v>291.2788312808616</v>
      </c>
    </row>
    <row r="15" spans="1:14">
      <c r="A15" s="9" t="str">
        <f>Inputs!A15</f>
        <v>THERM-STAT</v>
      </c>
      <c r="B15" s="9">
        <f>Inputs!B15</f>
        <v>30</v>
      </c>
      <c r="C15" s="9">
        <f>Inputs!C15</f>
        <v>10</v>
      </c>
      <c r="D15" s="9">
        <f>Inputs!D15</f>
        <v>7</v>
      </c>
      <c r="E15" s="9">
        <f>Inputs!E15</f>
        <v>1</v>
      </c>
      <c r="F15" s="9">
        <f>Inputs!F15</f>
        <v>0.95</v>
      </c>
      <c r="G15" s="9">
        <f t="shared" si="0"/>
        <v>1.645</v>
      </c>
      <c r="H15" s="9">
        <f t="shared" si="1"/>
        <v>210</v>
      </c>
      <c r="I15" s="9">
        <f t="shared" si="2"/>
        <v>40</v>
      </c>
      <c r="J15" s="9">
        <f t="shared" si="3"/>
        <v>65.8</v>
      </c>
      <c r="K15" s="9">
        <f t="shared" si="4"/>
        <v>275.8</v>
      </c>
    </row>
    <row r="16" spans="1:14">
      <c r="A16" s="9" t="str">
        <f>Inputs!A16</f>
        <v>FILTER-MERV13</v>
      </c>
      <c r="B16" s="9">
        <f>Inputs!B16</f>
        <v>50</v>
      </c>
      <c r="C16" s="9">
        <f>Inputs!C16</f>
        <v>15</v>
      </c>
      <c r="D16" s="9">
        <f>Inputs!D16</f>
        <v>5</v>
      </c>
      <c r="E16" s="9">
        <f>Inputs!E16</f>
        <v>1</v>
      </c>
      <c r="F16" s="9">
        <f>Inputs!F16</f>
        <v>0.95</v>
      </c>
      <c r="G16" s="9">
        <f t="shared" si="0"/>
        <v>1.645</v>
      </c>
      <c r="H16" s="9">
        <f t="shared" si="1"/>
        <v>250</v>
      </c>
      <c r="I16" s="9">
        <f t="shared" si="2"/>
        <v>60.207972893961475</v>
      </c>
      <c r="J16" s="9">
        <f t="shared" si="3"/>
        <v>99.042115410566623</v>
      </c>
      <c r="K16" s="9">
        <f t="shared" si="4"/>
        <v>349.04211541056662</v>
      </c>
    </row>
    <row r="17" spans="1:1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>
      <c r="A18" s="29" t="s">
        <v>51</v>
      </c>
      <c r="B18" s="29"/>
      <c r="C18" s="29"/>
      <c r="D18" s="30"/>
      <c r="E18" s="9"/>
      <c r="F18" s="9"/>
      <c r="G18" s="9"/>
      <c r="H18" s="9"/>
      <c r="I18" s="9"/>
      <c r="J18" s="9"/>
      <c r="K18" s="9"/>
    </row>
    <row r="19" spans="1:11">
      <c r="A19" s="31"/>
      <c r="B19" s="31"/>
      <c r="C19" s="31"/>
      <c r="D19" s="32"/>
      <c r="E19" s="9"/>
      <c r="F19" s="9"/>
      <c r="G19" s="9"/>
      <c r="H19" s="9"/>
      <c r="I19" s="9"/>
      <c r="J19" s="9"/>
      <c r="K19" s="9"/>
    </row>
    <row r="20" spans="1:11">
      <c r="A20" s="33"/>
      <c r="B20" s="33"/>
      <c r="C20" s="33"/>
      <c r="D20" s="34"/>
      <c r="E20" s="9"/>
      <c r="F20" s="9"/>
      <c r="G20" s="9"/>
      <c r="H20" s="9"/>
      <c r="I20" s="9"/>
      <c r="J20" s="9"/>
      <c r="K20" s="9"/>
    </row>
    <row r="21" spans="1:1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</sheetData>
  <mergeCells count="1">
    <mergeCell ref="A18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1747-141E-44D8-B811-DEC9C380784E}">
  <dimension ref="A1:S28"/>
  <sheetViews>
    <sheetView tabSelected="1" zoomScale="85" zoomScaleNormal="85" workbookViewId="0">
      <selection activeCell="H28" sqref="H28"/>
    </sheetView>
  </sheetViews>
  <sheetFormatPr defaultRowHeight="14.4"/>
  <cols>
    <col min="1" max="1" width="16.88671875" style="1" bestFit="1" customWidth="1"/>
    <col min="2" max="2" width="15.77734375" style="1" customWidth="1"/>
    <col min="3" max="3" width="17.6640625" style="1" bestFit="1" customWidth="1"/>
    <col min="4" max="4" width="25.44140625" style="1" bestFit="1" customWidth="1"/>
    <col min="5" max="5" width="23.6640625" style="1" customWidth="1"/>
    <col min="6" max="6" width="17.6640625" style="1" bestFit="1" customWidth="1"/>
    <col min="7" max="7" width="19" style="1" bestFit="1" customWidth="1"/>
    <col min="8" max="11" width="20.33203125" style="1" customWidth="1"/>
    <col min="12" max="12" width="11.21875" style="1" customWidth="1"/>
    <col min="13" max="13" width="8.88671875" style="1"/>
    <col min="14" max="14" width="14.6640625" style="1" customWidth="1"/>
    <col min="15" max="15" width="8.88671875" style="1"/>
    <col min="16" max="16" width="12.77734375" style="1" customWidth="1"/>
    <col min="17" max="17" width="12.21875" style="1" customWidth="1"/>
    <col min="18" max="16384" width="8.88671875" style="1"/>
  </cols>
  <sheetData>
    <row r="1" spans="1:19" ht="27.6" customHeight="1">
      <c r="A1" s="10" t="s">
        <v>0</v>
      </c>
      <c r="B1" s="11" t="s">
        <v>8</v>
      </c>
      <c r="C1" s="11" t="s">
        <v>7</v>
      </c>
      <c r="D1" s="11" t="s">
        <v>9</v>
      </c>
      <c r="E1" s="11" t="s">
        <v>10</v>
      </c>
      <c r="G1" s="16" t="s">
        <v>12</v>
      </c>
      <c r="H1" s="17"/>
      <c r="I1" s="17"/>
      <c r="J1" s="17"/>
      <c r="K1" s="18"/>
    </row>
    <row r="2" spans="1:19">
      <c r="A2" s="9" t="str">
        <f>Calculations!A2</f>
        <v>RTU-3TON</v>
      </c>
      <c r="B2" s="12">
        <f>Calculations!J2</f>
        <v>71.537019143936931</v>
      </c>
      <c r="C2" s="9">
        <f>Calculations!K2</f>
        <v>239.53701914393693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43.2">
      <c r="A3" s="9" t="str">
        <f>Calculations!A3</f>
        <v>RTU-5TON</v>
      </c>
      <c r="B3" s="12">
        <f>Calculations!J3</f>
        <v>55.761466013726711</v>
      </c>
      <c r="C3" s="9">
        <f>Calculations!K3</f>
        <v>195.7614660137267</v>
      </c>
      <c r="D3" s="6"/>
      <c r="E3" s="6"/>
      <c r="F3" s="6"/>
      <c r="G3" s="15" t="s">
        <v>37</v>
      </c>
      <c r="H3" s="15" t="s">
        <v>38</v>
      </c>
      <c r="I3" s="15" t="s">
        <v>39</v>
      </c>
      <c r="J3" s="15" t="s">
        <v>40</v>
      </c>
      <c r="K3" s="15" t="s">
        <v>41</v>
      </c>
      <c r="L3" s="15" t="s">
        <v>42</v>
      </c>
      <c r="M3" s="15" t="s">
        <v>43</v>
      </c>
      <c r="N3" s="15" t="s">
        <v>44</v>
      </c>
      <c r="O3" s="15" t="s">
        <v>47</v>
      </c>
      <c r="P3" s="15" t="s">
        <v>45</v>
      </c>
      <c r="Q3" s="15" t="s">
        <v>46</v>
      </c>
      <c r="R3" s="15" t="s">
        <v>48</v>
      </c>
      <c r="S3" s="15" t="s">
        <v>49</v>
      </c>
    </row>
    <row r="4" spans="1:19">
      <c r="A4" s="9" t="str">
        <f>Calculations!A4</f>
        <v>AHU-SMALL</v>
      </c>
      <c r="B4" s="12">
        <f>Calculations!J4</f>
        <v>33.012900035440687</v>
      </c>
      <c r="C4" s="9">
        <f>Calculations!K4</f>
        <v>138.01290003544068</v>
      </c>
      <c r="D4" s="6"/>
      <c r="E4" s="6"/>
      <c r="F4" s="6"/>
      <c r="G4" s="9" t="s">
        <v>29</v>
      </c>
      <c r="H4" s="9">
        <f>_xlfn.XLOOKUP($G4,Calculations!$A:$A,Calculations!$F:$F)</f>
        <v>0.99</v>
      </c>
      <c r="I4" s="9">
        <f>_xlfn.XLOOKUP($G4,Calculations!$A:$A,Calculations!$G:$G)</f>
        <v>2.3260000000000001</v>
      </c>
      <c r="J4" s="9">
        <f>_xlfn.XLOOKUP($G4,Calculations!$A:$A,Calculations!$J:$J)</f>
        <v>52.657064578269086</v>
      </c>
      <c r="K4" s="9">
        <f>_xlfn.XLOOKUP($G4,Calculations!$A:$A,Calculations!$K:$K)</f>
        <v>152.65706457826909</v>
      </c>
      <c r="L4" s="9">
        <v>0.99</v>
      </c>
      <c r="M4" s="9">
        <f>_xlfn.XLOOKUP(L4,Calculations!$M$2:$M$5,Calculations!$N$2:$N$5,,0)</f>
        <v>2.3260000000000001</v>
      </c>
      <c r="N4" s="9">
        <f>M4*R4</f>
        <v>52.657064578269086</v>
      </c>
      <c r="O4" s="9">
        <f>S4+N4</f>
        <v>152.65706457826909</v>
      </c>
      <c r="P4" s="6">
        <f>N4-J4</f>
        <v>0</v>
      </c>
      <c r="Q4" s="6">
        <f>O4-K4</f>
        <v>0</v>
      </c>
      <c r="R4" s="9">
        <f>_xlfn.XLOOKUP($G4,Calculations!$A:$A,Calculations!$I:$I)</f>
        <v>22.638462845343543</v>
      </c>
      <c r="S4" s="9">
        <f>_xlfn.XLOOKUP($G4,Calculations!$A:$A,Calculations!$H:$H)</f>
        <v>100</v>
      </c>
    </row>
    <row r="5" spans="1:19">
      <c r="A5" s="9" t="str">
        <f>Calculations!A5</f>
        <v>FURN-80KBTU</v>
      </c>
      <c r="B5" s="12">
        <f>Calculations!J5</f>
        <v>67.735302095731427</v>
      </c>
      <c r="C5" s="9">
        <f>Calculations!K5</f>
        <v>247.73530209573141</v>
      </c>
      <c r="D5" s="6"/>
      <c r="E5" s="6"/>
      <c r="F5" s="6"/>
      <c r="G5" s="9" t="s">
        <v>35</v>
      </c>
      <c r="H5" s="9">
        <f>_xlfn.XLOOKUP($G5,Calculations!$A:$A,Calculations!$F:$F)</f>
        <v>0.95</v>
      </c>
      <c r="I5" s="9">
        <f>_xlfn.XLOOKUP($G5,Calculations!$A:$A,Calculations!$G:$G)</f>
        <v>1.645</v>
      </c>
      <c r="J5" s="9">
        <f>_xlfn.XLOOKUP($G5,Calculations!$A:$A,Calculations!$J:$J)</f>
        <v>65.8</v>
      </c>
      <c r="K5" s="9">
        <f>_xlfn.XLOOKUP($G5,Calculations!$A:$A,Calculations!$K:$K)</f>
        <v>275.8</v>
      </c>
      <c r="L5" s="9">
        <v>0.99</v>
      </c>
      <c r="M5" s="9">
        <f>_xlfn.XLOOKUP(L5,Calculations!$M$2:$M$5,Calculations!$N$2:$N$5,,0)</f>
        <v>2.3260000000000001</v>
      </c>
      <c r="N5" s="9">
        <f>M5*R5</f>
        <v>93.04</v>
      </c>
      <c r="O5" s="9">
        <f>S5+N5</f>
        <v>303.04000000000002</v>
      </c>
      <c r="P5" s="6">
        <f>N5-J5</f>
        <v>27.240000000000009</v>
      </c>
      <c r="Q5" s="6">
        <f>O5-K5</f>
        <v>27.240000000000009</v>
      </c>
      <c r="R5" s="9">
        <f>_xlfn.XLOOKUP($G5,Calculations!$A:$A,Calculations!$I:$I)</f>
        <v>40</v>
      </c>
      <c r="S5" s="9">
        <f>_xlfn.XLOOKUP($G5,Calculations!$A:$A,Calculations!$H:$H)</f>
        <v>210</v>
      </c>
    </row>
    <row r="6" spans="1:19">
      <c r="A6" s="9" t="str">
        <f>Calculations!A6</f>
        <v>COND-3TON</v>
      </c>
      <c r="B6" s="12">
        <f>Calculations!J6</f>
        <v>80.17111629508473</v>
      </c>
      <c r="C6" s="9">
        <f>Calculations!K6</f>
        <v>260.17111629508474</v>
      </c>
      <c r="D6" s="6"/>
      <c r="E6" s="6"/>
      <c r="F6" s="6"/>
    </row>
    <row r="7" spans="1:19" ht="15" thickBot="1">
      <c r="A7" s="9" t="str">
        <f>Calculations!A7</f>
        <v>COND-5TON</v>
      </c>
      <c r="B7" s="12">
        <f>Calculations!J7</f>
        <v>72.889581093596632</v>
      </c>
      <c r="C7" s="9">
        <f>Calculations!K7</f>
        <v>226.88958109359663</v>
      </c>
      <c r="D7" s="6"/>
      <c r="E7" s="6"/>
      <c r="F7" s="6"/>
    </row>
    <row r="8" spans="1:19">
      <c r="A8" s="9" t="str">
        <f>Calculations!A8</f>
        <v>COMP-3TON</v>
      </c>
      <c r="B8" s="12">
        <f>Calculations!J8</f>
        <v>80.709183517119044</v>
      </c>
      <c r="C8" s="9">
        <f>Calculations!K8</f>
        <v>260.70918351711907</v>
      </c>
      <c r="D8" s="6"/>
      <c r="E8" s="6"/>
      <c r="F8" s="6"/>
      <c r="H8" s="20" t="s">
        <v>50</v>
      </c>
      <c r="I8" s="21"/>
      <c r="J8" s="21"/>
      <c r="K8" s="21"/>
      <c r="L8" s="21"/>
      <c r="M8" s="21"/>
      <c r="N8" s="21"/>
      <c r="O8" s="21"/>
      <c r="P8" s="21"/>
      <c r="Q8" s="21"/>
      <c r="R8" s="22"/>
    </row>
    <row r="9" spans="1:19">
      <c r="A9" s="9" t="str">
        <f>Calculations!A9</f>
        <v>COMP-5TON</v>
      </c>
      <c r="B9" s="12">
        <f>Calculations!J9</f>
        <v>52.657064578269086</v>
      </c>
      <c r="C9" s="9">
        <f>Calculations!K9</f>
        <v>152.65706457826909</v>
      </c>
      <c r="D9" s="6"/>
      <c r="E9" s="6"/>
      <c r="F9" s="6"/>
      <c r="H9" s="23"/>
      <c r="I9" s="24"/>
      <c r="J9" s="24"/>
      <c r="K9" s="24"/>
      <c r="L9" s="24"/>
      <c r="M9" s="24"/>
      <c r="N9" s="24"/>
      <c r="O9" s="24"/>
      <c r="P9" s="24"/>
      <c r="Q9" s="24"/>
      <c r="R9" s="25"/>
    </row>
    <row r="10" spans="1:19">
      <c r="A10" s="9" t="str">
        <f>Calculations!A10</f>
        <v>COIL-EVAP</v>
      </c>
      <c r="B10" s="12">
        <f>Calculations!J10</f>
        <v>62.503729616719667</v>
      </c>
      <c r="C10" s="9">
        <f>Calculations!K10</f>
        <v>230.50372961671968</v>
      </c>
      <c r="D10" s="6"/>
      <c r="E10" s="6"/>
      <c r="F10" s="6"/>
      <c r="H10" s="23"/>
      <c r="I10" s="24"/>
      <c r="J10" s="24"/>
      <c r="K10" s="24"/>
      <c r="L10" s="24"/>
      <c r="M10" s="24"/>
      <c r="N10" s="24"/>
      <c r="O10" s="24"/>
      <c r="P10" s="24"/>
      <c r="Q10" s="24"/>
      <c r="R10" s="25"/>
    </row>
    <row r="11" spans="1:19">
      <c r="A11" s="9" t="str">
        <f>Calculations!A11</f>
        <v>COIL-COND</v>
      </c>
      <c r="B11" s="12">
        <f>Calculations!J11</f>
        <v>64.464193627160185</v>
      </c>
      <c r="C11" s="9">
        <f>Calculations!K11</f>
        <v>208.46419362716017</v>
      </c>
      <c r="D11" s="6"/>
      <c r="E11" s="6"/>
      <c r="F11" s="6"/>
      <c r="H11" s="23"/>
      <c r="I11" s="24"/>
      <c r="J11" s="24"/>
      <c r="K11" s="24"/>
      <c r="L11" s="24"/>
      <c r="M11" s="24"/>
      <c r="N11" s="24"/>
      <c r="O11" s="24"/>
      <c r="P11" s="24"/>
      <c r="Q11" s="24"/>
      <c r="R11" s="25"/>
    </row>
    <row r="12" spans="1:19">
      <c r="A12" s="9" t="str">
        <f>Calculations!A12</f>
        <v>MOTOR-ECM</v>
      </c>
      <c r="B12" s="12">
        <f>Calculations!J12</f>
        <v>74.963965423395251</v>
      </c>
      <c r="C12" s="9">
        <f>Calculations!K12</f>
        <v>254.96396542339525</v>
      </c>
      <c r="D12" s="6"/>
      <c r="E12" s="6"/>
      <c r="F12" s="6"/>
      <c r="H12" s="23"/>
      <c r="I12" s="24"/>
      <c r="J12" s="24"/>
      <c r="K12" s="24"/>
      <c r="L12" s="24"/>
      <c r="M12" s="24"/>
      <c r="N12" s="24"/>
      <c r="O12" s="24"/>
      <c r="P12" s="24"/>
      <c r="Q12" s="24"/>
      <c r="R12" s="25"/>
    </row>
    <row r="13" spans="1:19" ht="15" thickBot="1">
      <c r="A13" s="9" t="str">
        <f>Calculations!A13</f>
        <v>BLOWER-ASSY</v>
      </c>
      <c r="B13" s="12">
        <f>Calculations!J13</f>
        <v>45.23002210921414</v>
      </c>
      <c r="C13" s="9">
        <f>Calculations!K13</f>
        <v>165.23002210921413</v>
      </c>
      <c r="D13" s="6"/>
      <c r="E13" s="6"/>
      <c r="F13" s="6"/>
      <c r="H13" s="26"/>
      <c r="I13" s="27"/>
      <c r="J13" s="27"/>
      <c r="K13" s="27"/>
      <c r="L13" s="27"/>
      <c r="M13" s="27"/>
      <c r="N13" s="27"/>
      <c r="O13" s="27"/>
      <c r="P13" s="27"/>
      <c r="Q13" s="27"/>
      <c r="R13" s="28"/>
    </row>
    <row r="14" spans="1:19">
      <c r="A14" s="9" t="str">
        <f>Calculations!A14</f>
        <v>CONTROL-BOARD</v>
      </c>
      <c r="B14" s="12">
        <f>Calculations!J14</f>
        <v>91.27883128086161</v>
      </c>
      <c r="C14" s="9">
        <f>Calculations!K14</f>
        <v>291.2788312808616</v>
      </c>
      <c r="D14" s="6"/>
      <c r="E14" s="6"/>
      <c r="F14" s="6"/>
    </row>
    <row r="15" spans="1:19">
      <c r="A15" s="9" t="str">
        <f>Calculations!A15</f>
        <v>THERM-STAT</v>
      </c>
      <c r="B15" s="12">
        <f>Calculations!J15</f>
        <v>65.8</v>
      </c>
      <c r="C15" s="9">
        <f>Calculations!K15</f>
        <v>275.8</v>
      </c>
      <c r="D15" s="6"/>
      <c r="E15" s="6"/>
      <c r="F15" s="6"/>
    </row>
    <row r="16" spans="1:19">
      <c r="A16" s="9" t="str">
        <f>Calculations!A16</f>
        <v>FILTER-MERV13</v>
      </c>
      <c r="B16" s="12">
        <f>Calculations!J16</f>
        <v>99.042115410566623</v>
      </c>
      <c r="C16" s="9">
        <f>Calculations!K16</f>
        <v>349.04211541056662</v>
      </c>
      <c r="D16" s="6"/>
      <c r="E16" s="6"/>
      <c r="F16" s="6"/>
    </row>
    <row r="17" spans="1:6">
      <c r="A17" s="9"/>
      <c r="B17" s="12"/>
      <c r="C17" s="9"/>
      <c r="D17" s="6"/>
      <c r="E17" s="6"/>
      <c r="F17" s="6"/>
    </row>
    <row r="18" spans="1:6">
      <c r="A18" s="9"/>
      <c r="B18" s="12"/>
      <c r="C18" s="9"/>
      <c r="D18" s="6"/>
      <c r="E18" s="6"/>
      <c r="F18" s="6"/>
    </row>
    <row r="20" spans="1:6" ht="15" thickBot="1"/>
    <row r="21" spans="1:6" ht="14.4" customHeight="1">
      <c r="A21" s="40" t="s">
        <v>52</v>
      </c>
      <c r="B21" s="41"/>
      <c r="C21" s="42"/>
    </row>
    <row r="22" spans="1:6" ht="15" thickBot="1">
      <c r="A22" s="43"/>
      <c r="B22" s="44"/>
      <c r="C22" s="45"/>
    </row>
    <row r="23" spans="1:6" ht="15" thickBot="1"/>
    <row r="24" spans="1:6">
      <c r="A24" s="19" t="s">
        <v>53</v>
      </c>
      <c r="B24" s="35"/>
      <c r="C24" s="35"/>
      <c r="D24" s="35"/>
      <c r="E24" s="35"/>
      <c r="F24" s="36"/>
    </row>
    <row r="25" spans="1:6">
      <c r="A25" s="46"/>
      <c r="B25" s="47"/>
      <c r="C25" s="47"/>
      <c r="D25" s="47"/>
      <c r="E25" s="47"/>
      <c r="F25" s="48"/>
    </row>
    <row r="26" spans="1:6">
      <c r="A26" s="46"/>
      <c r="B26" s="47"/>
      <c r="C26" s="47"/>
      <c r="D26" s="47"/>
      <c r="E26" s="47"/>
      <c r="F26" s="48"/>
    </row>
    <row r="27" spans="1:6">
      <c r="A27" s="46"/>
      <c r="B27" s="47"/>
      <c r="C27" s="47"/>
      <c r="D27" s="47"/>
      <c r="E27" s="47"/>
      <c r="F27" s="48"/>
    </row>
    <row r="28" spans="1:6" ht="15" thickBot="1">
      <c r="A28" s="37"/>
      <c r="B28" s="38"/>
      <c r="C28" s="38"/>
      <c r="D28" s="38"/>
      <c r="E28" s="38"/>
      <c r="F28" s="39"/>
    </row>
  </sheetData>
  <mergeCells count="4">
    <mergeCell ref="G1:K1"/>
    <mergeCell ref="H8:R13"/>
    <mergeCell ref="A21:C22"/>
    <mergeCell ref="A24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Calculations</vt:lpstr>
      <vt:lpstr>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Threats</dc:creator>
  <cp:lastModifiedBy>Geoffrey Threats</cp:lastModifiedBy>
  <dcterms:created xsi:type="dcterms:W3CDTF">2026-01-21T03:54:16Z</dcterms:created>
  <dcterms:modified xsi:type="dcterms:W3CDTF">2026-01-21T04:56:24Z</dcterms:modified>
</cp:coreProperties>
</file>